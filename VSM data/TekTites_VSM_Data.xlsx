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e/Documents/Joe/User/Tektites_VSM/"/>
    </mc:Choice>
  </mc:AlternateContent>
  <xr:revisionPtr revIDLastSave="0" documentId="8_{140D6D0E-DAC3-4AC3-ADF6-95CE8F16ED68}" xr6:coauthVersionLast="47" xr6:coauthVersionMax="47" xr10:uidLastSave="{00000000-0000-0000-0000-000000000000}"/>
  <bookViews>
    <workbookView xWindow="1180" yWindow="500" windowWidth="27240" windowHeight="16740" xr2:uid="{EE0B9A9D-F50A-1F49-A93C-51C299B68482}"/>
  </bookViews>
  <sheets>
    <sheet name="Kochi VSM Data" sheetId="2" r:id="rId1"/>
    <sheet name="Weight of samples" sheetId="1" r:id="rId2"/>
    <sheet name="FORC time estimat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B44" i="1"/>
  <c r="B45" i="1"/>
  <c r="B46" i="1"/>
  <c r="B37" i="1"/>
  <c r="B38" i="1"/>
  <c r="B39" i="1"/>
  <c r="B40" i="1"/>
  <c r="B41" i="1"/>
  <c r="B42" i="1"/>
  <c r="B35" i="1"/>
  <c r="D47" i="1"/>
  <c r="B47" i="1" s="1"/>
</calcChain>
</file>

<file path=xl/sharedStrings.xml><?xml version="1.0" encoding="utf-8"?>
<sst xmlns="http://schemas.openxmlformats.org/spreadsheetml/2006/main" count="86" uniqueCount="69">
  <si>
    <t>Group</t>
  </si>
  <si>
    <t>Sample #</t>
  </si>
  <si>
    <t>Mass (g)</t>
    <phoneticPr fontId="1"/>
  </si>
  <si>
    <t>Hc(mT)</t>
  </si>
  <si>
    <t>Mr(µAm^2)</t>
  </si>
  <si>
    <t>Ms(µAm^2)</t>
  </si>
  <si>
    <t>Hcr(mT)</t>
    <phoneticPr fontId="1"/>
  </si>
  <si>
    <t>Date Measured</t>
  </si>
  <si>
    <t>Forc?</t>
  </si>
  <si>
    <t>Comments</t>
  </si>
  <si>
    <t>control hldr</t>
  </si>
  <si>
    <t>blank holder with drop of glue; generally 100 Forcs, 12-22 hours depending on intensity.</t>
  </si>
  <si>
    <t>NB: save the numbers after 70% standard paramag correction</t>
  </si>
  <si>
    <r>
      <t xml:space="preserve">PO Farm </t>
    </r>
    <r>
      <rPr>
        <i/>
        <sz val="12"/>
        <color theme="1"/>
        <rFont val="Calibri"/>
        <family val="2"/>
        <scheme val="minor"/>
      </rPr>
      <t>excitu</t>
    </r>
  </si>
  <si>
    <t>PO-T1</t>
  </si>
  <si>
    <t>n/a</t>
  </si>
  <si>
    <t>Paramagnertic!!! Correction goes really FLAT!</t>
  </si>
  <si>
    <t>PO-T2</t>
  </si>
  <si>
    <t>PO-Con. 1</t>
  </si>
  <si>
    <t>red ball about 5 mm</t>
  </si>
  <si>
    <t>PO-Con. 2</t>
  </si>
  <si>
    <t>red ball about 4 mm</t>
  </si>
  <si>
    <t>PO-Con. 3</t>
  </si>
  <si>
    <t>smooth smooth survace concretion fairly large</t>
  </si>
  <si>
    <t>PO-Con. 4</t>
  </si>
  <si>
    <t xml:space="preserve">dull surface </t>
  </si>
  <si>
    <t>SPL-KK</t>
  </si>
  <si>
    <t>Splashform tektite from Khon Khan, Thailand, purchased at House of Gems in Bankok</t>
  </si>
  <si>
    <t>Volcanics</t>
  </si>
  <si>
    <t>NWF24-C-P8, bottom</t>
  </si>
  <si>
    <t>This is a chip frpm inside this concretion, ~400 kyr</t>
  </si>
  <si>
    <t>NWF24-C-P8, top weatherd</t>
  </si>
  <si>
    <t>This is the weatherd zone at the surface of ther core; broke when removing from glue</t>
  </si>
  <si>
    <t>NWF24-C-P8, top weatherd large sample</t>
  </si>
  <si>
    <t>big chunk to test consistency</t>
  </si>
  <si>
    <t>√</t>
  </si>
  <si>
    <t>PKS24-BA-P1 bottom</t>
  </si>
  <si>
    <t>Bottom of core into flow</t>
  </si>
  <si>
    <t>PKS24-BA-P1 bottom #2</t>
  </si>
  <si>
    <t>PKS24-BA-P1 top small fragment</t>
  </si>
  <si>
    <t>weatherd thin rim of outermost core</t>
  </si>
  <si>
    <t>PKQ24-AP-5C bottom</t>
  </si>
  <si>
    <t xml:space="preserve">interior of long core (?) </t>
  </si>
  <si>
    <t>PKQ24-AP-5C top</t>
  </si>
  <si>
    <t>weathered - narrow loop</t>
  </si>
  <si>
    <t>PKQ24-A-P5A bottom</t>
  </si>
  <si>
    <t>PKQ24-A-P5A top</t>
  </si>
  <si>
    <t>Very narrow hysteresis loop!</t>
  </si>
  <si>
    <t>Sample code</t>
  </si>
  <si>
    <t>number</t>
  </si>
  <si>
    <t>weight measured in Kochi on balance; zeroed with empty bag, assuming all bags are the same weight</t>
  </si>
  <si>
    <t>Samples collected West of Aprio Dam on road cut, in the Chron 33R / 33N interval</t>
  </si>
  <si>
    <t>weight of plastic bag samples are in, tarred out on the scale:</t>
  </si>
  <si>
    <t>grams</t>
  </si>
  <si>
    <t>C10AD …</t>
  </si>
  <si>
    <t>value tarred with first bag $F$3</t>
  </si>
  <si>
    <t xml:space="preserve">SQUID imaging sample … </t>
  </si>
  <si>
    <t>actual</t>
  </si>
  <si>
    <t>400 series:</t>
  </si>
  <si>
    <t>w/bag</t>
  </si>
  <si>
    <t>bag</t>
  </si>
  <si>
    <t>Sample</t>
  </si>
  <si>
    <t>10 bag weights</t>
  </si>
  <si>
    <t>samples crushed to do MPMS in gel cap.</t>
  </si>
  <si>
    <t>mass in cap</t>
  </si>
  <si>
    <t>cap weight</t>
  </si>
  <si>
    <t>FORC averaging times for 100 FORCS</t>
  </si>
  <si>
    <t>Averaging time (s)</t>
  </si>
  <si>
    <t>FORC time (hours)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</si>
</sst>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16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left"/>
    </xf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6074C-0641-B344-8D26-D1B0BE5CF719}">
  <dimension ref="A1:N86"/>
  <sheetViews>
    <sheetView tabSelected="1" zoomScale="162" zoomScaleNormal="162" workbookViewId="0">
      <pane ySplit="1" topLeftCell="A10" activePane="bottomLeft" state="frozen"/>
      <selection pane="bottomLeft" activeCell="S19" sqref="S19"/>
    </sheetView>
  </sheetViews>
  <sheetFormatPr defaultColWidth="11" defaultRowHeight="15.95"/>
  <cols>
    <col min="1" max="1" width="15.125" style="9" customWidth="1"/>
    <col min="2" max="2" width="16.875" customWidth="1"/>
    <col min="4" max="4" width="3.5" customWidth="1"/>
    <col min="5" max="5" width="2.5" customWidth="1"/>
    <col min="9" max="9" width="7.5" customWidth="1"/>
    <col min="13" max="13" width="9.625" style="6" customWidth="1"/>
  </cols>
  <sheetData>
    <row r="1" spans="1:14">
      <c r="A1" s="9" t="s">
        <v>0</v>
      </c>
      <c r="B1" s="3" t="s">
        <v>1</v>
      </c>
      <c r="C1" s="3" t="s">
        <v>2</v>
      </c>
      <c r="D1" s="3"/>
      <c r="E1" s="3"/>
      <c r="F1" s="3" t="s">
        <v>3</v>
      </c>
      <c r="G1" s="3" t="s">
        <v>4</v>
      </c>
      <c r="H1" s="3" t="s">
        <v>5</v>
      </c>
      <c r="I1" s="3"/>
      <c r="J1" s="3" t="s">
        <v>6</v>
      </c>
      <c r="K1" s="3" t="s">
        <v>4</v>
      </c>
      <c r="L1" s="3" t="s">
        <v>7</v>
      </c>
      <c r="M1" s="5" t="s">
        <v>8</v>
      </c>
      <c r="N1" s="3" t="s">
        <v>9</v>
      </c>
    </row>
    <row r="2" spans="1:14">
      <c r="B2" s="3" t="s">
        <v>10</v>
      </c>
      <c r="C2" s="3"/>
      <c r="D2" s="3"/>
      <c r="E2" s="3"/>
      <c r="F2" s="3"/>
      <c r="G2" s="3"/>
      <c r="H2" s="3"/>
      <c r="I2" s="3"/>
      <c r="J2" s="3"/>
      <c r="K2" s="3"/>
      <c r="L2" s="3"/>
      <c r="M2" s="5"/>
      <c r="N2" s="3" t="s">
        <v>11</v>
      </c>
    </row>
    <row r="3" spans="1:14">
      <c r="A3" s="10" t="s">
        <v>12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5"/>
      <c r="N3" s="3"/>
    </row>
    <row r="4" spans="1:14">
      <c r="A4" s="9" t="s">
        <v>13</v>
      </c>
      <c r="B4" s="3" t="s">
        <v>14</v>
      </c>
      <c r="C4" s="3">
        <v>1.0900000000000001</v>
      </c>
      <c r="D4" s="3"/>
      <c r="E4" s="3"/>
      <c r="F4" s="3" t="s">
        <v>15</v>
      </c>
      <c r="G4" s="3" t="s">
        <v>15</v>
      </c>
      <c r="H4" s="3" t="s">
        <v>15</v>
      </c>
      <c r="I4" s="3"/>
      <c r="J4" s="3"/>
      <c r="K4" s="3"/>
      <c r="L4" s="11">
        <v>45376</v>
      </c>
      <c r="M4" s="5"/>
      <c r="N4" s="3" t="s">
        <v>16</v>
      </c>
    </row>
    <row r="5" spans="1:14">
      <c r="B5" s="3" t="s">
        <v>17</v>
      </c>
      <c r="C5" s="3">
        <v>0.44600000000000001</v>
      </c>
      <c r="D5" s="3"/>
      <c r="E5" s="3"/>
      <c r="F5" s="3" t="s">
        <v>15</v>
      </c>
      <c r="G5" s="3" t="s">
        <v>15</v>
      </c>
      <c r="H5" s="3" t="s">
        <v>15</v>
      </c>
      <c r="I5" s="3"/>
      <c r="J5" s="3"/>
      <c r="K5" s="3"/>
      <c r="L5" s="11">
        <v>45376</v>
      </c>
      <c r="M5" s="5"/>
      <c r="N5" s="3" t="s">
        <v>16</v>
      </c>
    </row>
    <row r="6" spans="1:14">
      <c r="B6" s="3" t="s">
        <v>18</v>
      </c>
      <c r="C6" s="3">
        <v>0.218</v>
      </c>
      <c r="D6" s="3"/>
      <c r="E6" s="3"/>
      <c r="F6" s="3">
        <v>168.5</v>
      </c>
      <c r="G6" s="3">
        <v>2.2400000000000002</v>
      </c>
      <c r="H6" s="3">
        <v>5.6520000000000001</v>
      </c>
      <c r="I6" s="3"/>
      <c r="J6" s="3">
        <v>496.4</v>
      </c>
      <c r="K6" s="3">
        <v>2.2400000000000002</v>
      </c>
      <c r="L6" s="11">
        <v>45376</v>
      </c>
      <c r="M6" s="5"/>
      <c r="N6" s="3" t="s">
        <v>19</v>
      </c>
    </row>
    <row r="7" spans="1:14">
      <c r="B7" s="3" t="s">
        <v>20</v>
      </c>
      <c r="C7" s="3">
        <v>0.18</v>
      </c>
      <c r="D7" s="3"/>
      <c r="E7" s="3"/>
      <c r="F7" s="3">
        <v>278.3</v>
      </c>
      <c r="G7" s="3">
        <v>2.306</v>
      </c>
      <c r="H7" s="3">
        <v>4.4989999999999997</v>
      </c>
      <c r="I7" s="3"/>
      <c r="J7" s="3">
        <v>560.9</v>
      </c>
      <c r="K7" s="3">
        <v>1.772</v>
      </c>
      <c r="L7" s="11">
        <v>45376</v>
      </c>
      <c r="M7" s="5"/>
      <c r="N7" s="3" t="s">
        <v>21</v>
      </c>
    </row>
    <row r="8" spans="1:14">
      <c r="B8" s="3" t="s">
        <v>22</v>
      </c>
      <c r="C8" s="3">
        <v>2.27</v>
      </c>
      <c r="D8" s="3"/>
      <c r="E8" s="3"/>
      <c r="F8" s="3">
        <v>302.10000000000002</v>
      </c>
      <c r="G8" s="3">
        <v>24.28</v>
      </c>
      <c r="H8" s="3">
        <v>36.119999999999997</v>
      </c>
      <c r="I8" s="3"/>
      <c r="J8" s="3">
        <v>392</v>
      </c>
      <c r="K8" s="3">
        <v>22.45</v>
      </c>
      <c r="L8" s="11">
        <v>45376</v>
      </c>
      <c r="M8" s="5"/>
      <c r="N8" s="3" t="s">
        <v>23</v>
      </c>
    </row>
    <row r="9" spans="1:14">
      <c r="B9" s="3" t="s">
        <v>24</v>
      </c>
      <c r="C9" s="3">
        <v>1.03</v>
      </c>
      <c r="D9" s="3"/>
      <c r="E9" s="3"/>
      <c r="F9" s="3">
        <v>312.89999999999998</v>
      </c>
      <c r="G9" s="3">
        <v>9.5920000000000005</v>
      </c>
      <c r="H9" s="3">
        <v>13.79</v>
      </c>
      <c r="I9" s="3"/>
      <c r="J9" s="3">
        <v>418.5</v>
      </c>
      <c r="K9" s="3">
        <v>8.9830000000000005</v>
      </c>
      <c r="L9" s="11">
        <v>45376</v>
      </c>
      <c r="M9" s="5"/>
      <c r="N9" s="3" t="s">
        <v>25</v>
      </c>
    </row>
    <row r="10" spans="1:14">
      <c r="B10" s="3" t="s">
        <v>26</v>
      </c>
      <c r="C10" s="3"/>
      <c r="D10" s="3"/>
      <c r="E10" s="3"/>
      <c r="F10" s="3" t="s">
        <v>15</v>
      </c>
      <c r="G10" s="3" t="s">
        <v>15</v>
      </c>
      <c r="H10" s="3" t="s">
        <v>15</v>
      </c>
      <c r="I10" s="3"/>
      <c r="J10" s="3"/>
      <c r="K10" s="3"/>
      <c r="L10" s="11">
        <v>45376</v>
      </c>
      <c r="M10" s="5"/>
      <c r="N10" s="3" t="s">
        <v>27</v>
      </c>
    </row>
    <row r="11" spans="1:14">
      <c r="B11" s="3"/>
      <c r="C11" s="3"/>
      <c r="D11" s="3"/>
      <c r="E11" s="3"/>
      <c r="F11" s="3"/>
      <c r="G11" s="3"/>
      <c r="H11" s="3"/>
      <c r="I11" s="3"/>
      <c r="J11" s="3"/>
      <c r="K11" s="3"/>
      <c r="L11" s="11"/>
      <c r="M11" s="5"/>
      <c r="N11" s="3"/>
    </row>
    <row r="12" spans="1:14">
      <c r="A12" s="9" t="s">
        <v>28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11"/>
      <c r="M12" s="5"/>
      <c r="N12" s="3"/>
    </row>
    <row r="13" spans="1:14">
      <c r="B13" s="3" t="s">
        <v>29</v>
      </c>
      <c r="C13" s="12">
        <v>0.307</v>
      </c>
      <c r="D13" s="3"/>
      <c r="E13" s="3"/>
      <c r="F13" s="3">
        <v>21.09</v>
      </c>
      <c r="G13" s="3">
        <v>25.5</v>
      </c>
      <c r="H13" s="3">
        <v>77.95</v>
      </c>
      <c r="I13" s="3"/>
      <c r="J13" s="3">
        <v>38.31</v>
      </c>
      <c r="K13" s="3">
        <v>25.19</v>
      </c>
      <c r="L13" s="11">
        <v>45379</v>
      </c>
      <c r="M13" s="5"/>
      <c r="N13" s="3" t="s">
        <v>30</v>
      </c>
    </row>
    <row r="14" spans="1:14">
      <c r="B14" s="3" t="s">
        <v>31</v>
      </c>
      <c r="C14" s="12">
        <v>0.3</v>
      </c>
      <c r="D14" s="3"/>
      <c r="E14" s="3"/>
      <c r="F14" s="3">
        <v>16.57</v>
      </c>
      <c r="G14" s="3">
        <v>28.82</v>
      </c>
      <c r="H14" s="3">
        <v>108.3</v>
      </c>
      <c r="I14" s="3"/>
      <c r="J14" s="3">
        <v>32.64</v>
      </c>
      <c r="K14" s="3">
        <v>28.48</v>
      </c>
      <c r="L14" s="11">
        <v>45379</v>
      </c>
      <c r="M14" s="5"/>
      <c r="N14" s="3" t="s">
        <v>32</v>
      </c>
    </row>
    <row r="15" spans="1:14">
      <c r="B15" s="3" t="s">
        <v>33</v>
      </c>
      <c r="C15" s="12">
        <v>0.89600000000000002</v>
      </c>
      <c r="D15" s="3"/>
      <c r="E15" s="3"/>
      <c r="F15" s="3">
        <v>16.579999999999998</v>
      </c>
      <c r="G15" s="3">
        <v>56.03</v>
      </c>
      <c r="H15" s="3">
        <v>214.1</v>
      </c>
      <c r="I15" s="3"/>
      <c r="J15" s="3">
        <v>32.21</v>
      </c>
      <c r="K15" s="3">
        <v>55.24</v>
      </c>
      <c r="L15" s="11">
        <v>45379</v>
      </c>
      <c r="M15" s="5"/>
      <c r="N15" s="3" t="s">
        <v>34</v>
      </c>
    </row>
    <row r="16" spans="1:14">
      <c r="B16" s="3" t="s">
        <v>33</v>
      </c>
      <c r="C16" s="12">
        <v>0.185</v>
      </c>
      <c r="D16" s="3"/>
      <c r="E16" s="3"/>
      <c r="F16" s="3"/>
      <c r="G16" s="3"/>
      <c r="H16" s="3"/>
      <c r="I16" s="3"/>
      <c r="J16" s="3"/>
      <c r="K16" s="3"/>
      <c r="L16" s="11"/>
      <c r="M16" s="6" t="s">
        <v>35</v>
      </c>
      <c r="N16" s="3"/>
    </row>
    <row r="17" spans="2:14">
      <c r="B17" s="3" t="s">
        <v>36</v>
      </c>
      <c r="C17" s="12">
        <v>0.29899999999999999</v>
      </c>
      <c r="D17" s="3"/>
      <c r="E17" s="3"/>
      <c r="F17" s="3">
        <v>16.8</v>
      </c>
      <c r="G17" s="3">
        <v>33.630000000000003</v>
      </c>
      <c r="H17" s="3">
        <v>96.73</v>
      </c>
      <c r="I17" s="3"/>
      <c r="J17" s="3">
        <v>24.54</v>
      </c>
      <c r="K17" s="3">
        <v>33.76</v>
      </c>
      <c r="L17" s="11">
        <v>45379</v>
      </c>
      <c r="M17" s="5"/>
      <c r="N17" s="3" t="s">
        <v>37</v>
      </c>
    </row>
    <row r="18" spans="2:14">
      <c r="B18" s="3" t="s">
        <v>38</v>
      </c>
      <c r="C18" s="12">
        <v>0.371</v>
      </c>
      <c r="D18" s="3"/>
      <c r="E18" s="3"/>
      <c r="F18" s="3">
        <v>22.4</v>
      </c>
      <c r="G18" s="3">
        <v>26.3</v>
      </c>
      <c r="H18" s="3">
        <v>71.69</v>
      </c>
      <c r="I18" s="3"/>
      <c r="J18" s="3"/>
      <c r="K18" s="3"/>
      <c r="L18" s="11"/>
      <c r="M18" s="6" t="s">
        <v>35</v>
      </c>
      <c r="N18" s="3"/>
    </row>
    <row r="19" spans="2:14">
      <c r="B19" s="3" t="s">
        <v>39</v>
      </c>
      <c r="C19" s="12">
        <v>0.16400000000000001</v>
      </c>
      <c r="D19" s="3"/>
      <c r="E19" s="3"/>
      <c r="F19" s="3">
        <v>17.28</v>
      </c>
      <c r="G19" s="3">
        <v>8.5950000000000006</v>
      </c>
      <c r="H19" s="3">
        <v>32.49</v>
      </c>
      <c r="I19" s="3"/>
      <c r="J19" s="3">
        <v>34.159999999999997</v>
      </c>
      <c r="K19" s="3">
        <v>8.4580000000000002</v>
      </c>
      <c r="L19" s="11">
        <v>45379</v>
      </c>
      <c r="M19" s="5"/>
      <c r="N19" s="3" t="s">
        <v>40</v>
      </c>
    </row>
    <row r="20" spans="2:14">
      <c r="B20" s="3" t="s">
        <v>41</v>
      </c>
      <c r="C20" s="12">
        <v>0.66800000000000004</v>
      </c>
      <c r="D20" s="3"/>
      <c r="E20" s="3"/>
      <c r="F20" s="3">
        <v>10.64</v>
      </c>
      <c r="G20" s="3">
        <v>27.44</v>
      </c>
      <c r="H20" s="3">
        <v>133</v>
      </c>
      <c r="I20" s="3"/>
      <c r="J20" s="3">
        <v>23.2</v>
      </c>
      <c r="K20" s="3">
        <v>27.71</v>
      </c>
      <c r="L20" s="11">
        <v>45380</v>
      </c>
      <c r="M20" s="5"/>
      <c r="N20" s="3" t="s">
        <v>42</v>
      </c>
    </row>
    <row r="21" spans="2:14">
      <c r="B21" s="3" t="s">
        <v>43</v>
      </c>
      <c r="C21" s="12">
        <v>0.245</v>
      </c>
      <c r="D21" s="3"/>
      <c r="E21" s="3"/>
      <c r="F21" s="3">
        <v>8.6679999999999993</v>
      </c>
      <c r="G21" s="3">
        <v>15.55</v>
      </c>
      <c r="H21" s="3">
        <v>90.8</v>
      </c>
      <c r="I21" s="3"/>
      <c r="J21" s="3">
        <v>17.07</v>
      </c>
      <c r="K21" s="3">
        <v>15.75</v>
      </c>
      <c r="L21" s="11">
        <v>45380</v>
      </c>
      <c r="M21" s="5"/>
      <c r="N21" s="3" t="s">
        <v>44</v>
      </c>
    </row>
    <row r="22" spans="2:14">
      <c r="B22" s="3" t="s">
        <v>45</v>
      </c>
      <c r="C22" s="12">
        <v>0.79</v>
      </c>
      <c r="D22" s="3"/>
      <c r="E22" s="3"/>
      <c r="F22" s="3">
        <v>13.94</v>
      </c>
      <c r="G22" s="3">
        <v>34.07</v>
      </c>
      <c r="H22" s="3">
        <v>132</v>
      </c>
      <c r="I22" s="3"/>
      <c r="J22" s="3">
        <v>30.29</v>
      </c>
      <c r="K22" s="3">
        <v>34.31</v>
      </c>
      <c r="L22" s="11">
        <v>45380</v>
      </c>
      <c r="M22" s="5"/>
      <c r="N22" s="3" t="s">
        <v>42</v>
      </c>
    </row>
    <row r="23" spans="2:14">
      <c r="B23" s="3" t="s">
        <v>46</v>
      </c>
      <c r="C23" s="3">
        <v>0.28599999999999998</v>
      </c>
      <c r="D23" s="3"/>
      <c r="E23" s="3"/>
      <c r="F23" s="3">
        <v>8.4220000000000006</v>
      </c>
      <c r="G23" s="3">
        <v>19.18</v>
      </c>
      <c r="H23" s="3">
        <v>120</v>
      </c>
      <c r="I23" s="3"/>
      <c r="J23" s="3">
        <v>16.77</v>
      </c>
      <c r="K23" s="3">
        <v>19.32</v>
      </c>
      <c r="L23" s="11">
        <v>45380</v>
      </c>
      <c r="M23" s="5"/>
      <c r="N23" s="3" t="s">
        <v>47</v>
      </c>
    </row>
    <row r="24" spans="2:14">
      <c r="L24" s="4"/>
    </row>
    <row r="28" spans="2:14">
      <c r="L28" s="4"/>
    </row>
    <row r="31" spans="2:14">
      <c r="L31" s="4"/>
    </row>
    <row r="34" spans="8:12">
      <c r="L34" s="4"/>
    </row>
    <row r="38" spans="8:12">
      <c r="L38" s="4"/>
    </row>
    <row r="41" spans="8:12">
      <c r="L41" s="4"/>
    </row>
    <row r="44" spans="8:12">
      <c r="L44" s="4"/>
    </row>
    <row r="47" spans="8:12">
      <c r="H47" s="8"/>
      <c r="L47" s="4"/>
    </row>
    <row r="51" spans="12:13">
      <c r="L51" s="4"/>
      <c r="M51" s="7"/>
    </row>
    <row r="52" spans="12:13">
      <c r="L52" s="4"/>
      <c r="M52" s="7"/>
    </row>
    <row r="53" spans="12:13">
      <c r="L53" s="4"/>
      <c r="M53" s="7"/>
    </row>
    <row r="55" spans="12:13">
      <c r="L55" s="4"/>
    </row>
    <row r="57" spans="12:13">
      <c r="L57" s="4"/>
    </row>
    <row r="61" spans="12:13">
      <c r="L61" s="4"/>
    </row>
    <row r="64" spans="12:13">
      <c r="L64" s="4"/>
    </row>
    <row r="68" spans="1:12">
      <c r="L68" s="4"/>
    </row>
    <row r="71" spans="1:12">
      <c r="L71" s="4"/>
    </row>
    <row r="74" spans="1:12">
      <c r="L74" s="4"/>
    </row>
    <row r="76" spans="1:12">
      <c r="H76" s="8"/>
      <c r="L76" s="4"/>
    </row>
    <row r="78" spans="1:12">
      <c r="L78" s="4"/>
    </row>
    <row r="80" spans="1:12">
      <c r="A80"/>
      <c r="L80" s="4"/>
    </row>
    <row r="81" spans="1:14">
      <c r="A81" s="10"/>
      <c r="L81" s="4"/>
    </row>
    <row r="83" spans="1:14">
      <c r="A83" s="10"/>
    </row>
    <row r="85" spans="1:14">
      <c r="L85" s="4"/>
      <c r="N85" s="10"/>
    </row>
    <row r="86" spans="1:14">
      <c r="L86" s="4"/>
    </row>
  </sheetData>
  <sortState xmlns:xlrd2="http://schemas.microsoft.com/office/spreadsheetml/2017/richdata2" ref="A54:N78">
    <sortCondition ref="B54:B78"/>
    <sortCondition ref="A54:A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C12D3-82CC-BA40-A4BB-CEE3CB5AF58A}">
  <dimension ref="A1:H53"/>
  <sheetViews>
    <sheetView zoomScale="200" zoomScaleNormal="200" workbookViewId="0">
      <selection activeCell="A5" sqref="A5:B32"/>
    </sheetView>
  </sheetViews>
  <sheetFormatPr defaultColWidth="11" defaultRowHeight="15.95"/>
  <sheetData>
    <row r="1" spans="1:7">
      <c r="A1" t="s">
        <v>48</v>
      </c>
      <c r="B1" t="s">
        <v>49</v>
      </c>
      <c r="C1" t="s">
        <v>50</v>
      </c>
    </row>
    <row r="2" spans="1:7">
      <c r="A2" t="s">
        <v>51</v>
      </c>
    </row>
    <row r="3" spans="1:7">
      <c r="A3" t="s">
        <v>52</v>
      </c>
      <c r="F3">
        <v>0.33651999999999999</v>
      </c>
      <c r="G3" t="s">
        <v>53</v>
      </c>
    </row>
    <row r="4" spans="1:7">
      <c r="A4" t="s">
        <v>54</v>
      </c>
      <c r="B4" t="s">
        <v>55</v>
      </c>
    </row>
    <row r="5" spans="1:7">
      <c r="A5">
        <v>201</v>
      </c>
      <c r="C5" t="s">
        <v>56</v>
      </c>
    </row>
    <row r="6" spans="1:7">
      <c r="A6">
        <v>211</v>
      </c>
      <c r="B6">
        <v>0.624</v>
      </c>
      <c r="C6" t="s">
        <v>57</v>
      </c>
    </row>
    <row r="7" spans="1:7">
      <c r="A7">
        <v>213</v>
      </c>
      <c r="B7">
        <v>0.59199999999999997</v>
      </c>
    </row>
    <row r="8" spans="1:7">
      <c r="A8">
        <v>214</v>
      </c>
      <c r="B8" s="1">
        <v>0.59799999999999998</v>
      </c>
    </row>
    <row r="9" spans="1:7">
      <c r="A9">
        <v>215</v>
      </c>
      <c r="B9">
        <v>0.94599999999999995</v>
      </c>
    </row>
    <row r="10" spans="1:7">
      <c r="A10">
        <v>216</v>
      </c>
      <c r="B10">
        <v>0.65600000000000003</v>
      </c>
    </row>
    <row r="11" spans="1:7">
      <c r="A11">
        <v>219</v>
      </c>
      <c r="B11">
        <v>0.61899999999999999</v>
      </c>
    </row>
    <row r="12" spans="1:7">
      <c r="A12">
        <v>220</v>
      </c>
      <c r="B12">
        <v>0.58799999999999997</v>
      </c>
    </row>
    <row r="13" spans="1:7">
      <c r="A13">
        <v>221</v>
      </c>
      <c r="B13">
        <v>0.621</v>
      </c>
    </row>
    <row r="14" spans="1:7">
      <c r="A14">
        <v>222</v>
      </c>
      <c r="B14">
        <v>0.47399999999999998</v>
      </c>
    </row>
    <row r="15" spans="1:7">
      <c r="A15">
        <v>223</v>
      </c>
      <c r="B15">
        <v>0.70599999999999996</v>
      </c>
    </row>
    <row r="16" spans="1:7">
      <c r="A16">
        <v>225</v>
      </c>
      <c r="B16">
        <v>0.61699999999999999</v>
      </c>
    </row>
    <row r="17" spans="1:3">
      <c r="A17">
        <v>227</v>
      </c>
      <c r="B17">
        <v>0.60399999999999998</v>
      </c>
    </row>
    <row r="18" spans="1:3">
      <c r="A18">
        <v>228</v>
      </c>
      <c r="B18">
        <v>0.60899999999999999</v>
      </c>
    </row>
    <row r="19" spans="1:3">
      <c r="A19">
        <v>229</v>
      </c>
      <c r="B19">
        <v>0.54142999999999997</v>
      </c>
      <c r="C19" t="s">
        <v>57</v>
      </c>
    </row>
    <row r="20" spans="1:3">
      <c r="A20">
        <v>230</v>
      </c>
      <c r="B20">
        <v>0.39700000000000002</v>
      </c>
    </row>
    <row r="21" spans="1:3">
      <c r="A21">
        <v>231</v>
      </c>
      <c r="B21">
        <v>0.45</v>
      </c>
    </row>
    <row r="22" spans="1:3">
      <c r="A22">
        <v>234</v>
      </c>
      <c r="B22">
        <v>0.65200000000000002</v>
      </c>
    </row>
    <row r="23" spans="1:3">
      <c r="A23">
        <v>238</v>
      </c>
      <c r="B23">
        <v>0.68600000000000005</v>
      </c>
    </row>
    <row r="24" spans="1:3">
      <c r="A24">
        <v>239</v>
      </c>
      <c r="B24">
        <v>0.71099999999999997</v>
      </c>
    </row>
    <row r="25" spans="1:3">
      <c r="A25">
        <v>240</v>
      </c>
      <c r="B25">
        <v>0.63300000000000001</v>
      </c>
    </row>
    <row r="26" spans="1:3">
      <c r="A26">
        <v>242</v>
      </c>
      <c r="B26">
        <v>0.57599999999999996</v>
      </c>
    </row>
    <row r="27" spans="1:3">
      <c r="A27">
        <v>243</v>
      </c>
      <c r="B27">
        <v>0.57699999999999996</v>
      </c>
    </row>
    <row r="28" spans="1:3">
      <c r="A28">
        <v>244</v>
      </c>
      <c r="B28">
        <v>0.65</v>
      </c>
    </row>
    <row r="29" spans="1:3">
      <c r="A29">
        <v>246</v>
      </c>
      <c r="B29">
        <v>0.58499999999999996</v>
      </c>
    </row>
    <row r="30" spans="1:3">
      <c r="A30">
        <v>248</v>
      </c>
      <c r="B30">
        <v>0.61</v>
      </c>
    </row>
    <row r="31" spans="1:3">
      <c r="A31">
        <v>250</v>
      </c>
      <c r="B31">
        <v>0.55500000000000005</v>
      </c>
    </row>
    <row r="32" spans="1:3">
      <c r="A32">
        <v>253</v>
      </c>
      <c r="B32">
        <v>0.50800000000000001</v>
      </c>
    </row>
    <row r="34" spans="1:8">
      <c r="A34" t="s">
        <v>58</v>
      </c>
      <c r="B34" t="s">
        <v>57</v>
      </c>
      <c r="C34" t="s">
        <v>59</v>
      </c>
      <c r="D34" t="s">
        <v>60</v>
      </c>
    </row>
    <row r="35" spans="1:8">
      <c r="A35">
        <v>400</v>
      </c>
      <c r="B35">
        <f>C35-D35+$F$3</f>
        <v>0.88572000000000006</v>
      </c>
      <c r="C35">
        <v>0.91400000000000003</v>
      </c>
      <c r="D35">
        <v>0.36480000000000001</v>
      </c>
      <c r="G35" t="s">
        <v>61</v>
      </c>
      <c r="H35" t="s">
        <v>62</v>
      </c>
    </row>
    <row r="36" spans="1:8">
      <c r="A36">
        <v>401</v>
      </c>
      <c r="B36">
        <v>0.84011000000000002</v>
      </c>
      <c r="C36" t="s">
        <v>57</v>
      </c>
      <c r="G36">
        <v>416</v>
      </c>
    </row>
    <row r="37" spans="1:8">
      <c r="A37" s="2">
        <v>402</v>
      </c>
      <c r="B37">
        <f t="shared" ref="B37:B47" si="0">C37-D37+$F$3</f>
        <v>0.78906999999999994</v>
      </c>
      <c r="C37">
        <v>0.82399999999999995</v>
      </c>
      <c r="D37">
        <v>0.37145</v>
      </c>
      <c r="G37">
        <v>415</v>
      </c>
    </row>
    <row r="38" spans="1:8">
      <c r="A38">
        <v>403</v>
      </c>
      <c r="B38">
        <f t="shared" si="0"/>
        <v>0.77925999999999995</v>
      </c>
      <c r="C38">
        <v>0.81499999999999995</v>
      </c>
      <c r="D38">
        <v>0.37225999999999998</v>
      </c>
      <c r="G38">
        <v>414</v>
      </c>
    </row>
    <row r="39" spans="1:8">
      <c r="A39">
        <v>405</v>
      </c>
      <c r="B39">
        <f t="shared" si="0"/>
        <v>1.08622</v>
      </c>
      <c r="C39">
        <v>1.113</v>
      </c>
      <c r="D39">
        <v>0.36330000000000001</v>
      </c>
      <c r="G39">
        <v>413</v>
      </c>
    </row>
    <row r="40" spans="1:8">
      <c r="A40">
        <v>407</v>
      </c>
      <c r="B40">
        <f t="shared" si="0"/>
        <v>0.73741999999999996</v>
      </c>
      <c r="C40">
        <v>0.77500000000000002</v>
      </c>
      <c r="D40">
        <v>0.37409999999999999</v>
      </c>
      <c r="G40">
        <v>411</v>
      </c>
    </row>
    <row r="41" spans="1:8">
      <c r="A41">
        <v>408</v>
      </c>
      <c r="B41">
        <f t="shared" si="0"/>
        <v>0.74292000000000002</v>
      </c>
      <c r="C41">
        <v>0.78100000000000003</v>
      </c>
      <c r="D41">
        <v>0.37459999999999999</v>
      </c>
      <c r="G41">
        <v>409</v>
      </c>
    </row>
    <row r="42" spans="1:8">
      <c r="A42">
        <v>409</v>
      </c>
      <c r="B42">
        <f t="shared" si="0"/>
        <v>0.83911999999999987</v>
      </c>
      <c r="C42">
        <v>0.876</v>
      </c>
      <c r="D42">
        <v>0.37340000000000001</v>
      </c>
      <c r="G42">
        <v>408</v>
      </c>
    </row>
    <row r="43" spans="1:8">
      <c r="A43">
        <v>411</v>
      </c>
      <c r="B43">
        <f>C43-D43+$F$3</f>
        <v>0.64822000000000002</v>
      </c>
      <c r="C43">
        <v>0.68500000000000005</v>
      </c>
      <c r="D43">
        <v>0.37330000000000002</v>
      </c>
      <c r="G43">
        <v>407</v>
      </c>
    </row>
    <row r="44" spans="1:8">
      <c r="A44">
        <v>413</v>
      </c>
      <c r="B44">
        <f t="shared" si="0"/>
        <v>0.8327199999999999</v>
      </c>
      <c r="C44">
        <v>0.86799999999999999</v>
      </c>
      <c r="D44">
        <v>0.37180000000000002</v>
      </c>
      <c r="G44">
        <v>405</v>
      </c>
    </row>
    <row r="45" spans="1:8">
      <c r="A45">
        <v>414</v>
      </c>
      <c r="B45">
        <f t="shared" si="0"/>
        <v>0.8529199999999999</v>
      </c>
      <c r="C45">
        <v>0.89600000000000002</v>
      </c>
      <c r="D45">
        <v>0.37959999999999999</v>
      </c>
      <c r="G45">
        <v>403</v>
      </c>
    </row>
    <row r="46" spans="1:8">
      <c r="A46">
        <v>416</v>
      </c>
      <c r="B46">
        <f t="shared" si="0"/>
        <v>0.721387</v>
      </c>
      <c r="C46">
        <v>0.753</v>
      </c>
      <c r="D46">
        <v>0.36813299999999999</v>
      </c>
      <c r="G46">
        <v>402</v>
      </c>
    </row>
    <row r="47" spans="1:8">
      <c r="A47">
        <v>415</v>
      </c>
      <c r="B47">
        <f t="shared" si="0"/>
        <v>1.004</v>
      </c>
      <c r="C47">
        <v>1.004</v>
      </c>
      <c r="D47">
        <f>F3</f>
        <v>0.33651999999999999</v>
      </c>
      <c r="G47">
        <v>400</v>
      </c>
    </row>
    <row r="48" spans="1:8">
      <c r="A48">
        <v>420</v>
      </c>
      <c r="B48">
        <v>0.78200000000000003</v>
      </c>
      <c r="C48" t="s">
        <v>57</v>
      </c>
    </row>
    <row r="51" spans="1:3">
      <c r="A51" t="s">
        <v>63</v>
      </c>
    </row>
    <row r="52" spans="1:3">
      <c r="B52" t="s">
        <v>64</v>
      </c>
      <c r="C52" t="s">
        <v>65</v>
      </c>
    </row>
    <row r="53" spans="1:3">
      <c r="A53">
        <v>211</v>
      </c>
      <c r="B53">
        <v>0.20749999999999999</v>
      </c>
      <c r="C53">
        <v>4.0559999999999999E-2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AA62-296E-BB45-AFED-2F96E28AEB3E}">
  <dimension ref="A1:B14"/>
  <sheetViews>
    <sheetView zoomScale="171" zoomScaleNormal="171" workbookViewId="0">
      <selection activeCell="H16" sqref="H16"/>
    </sheetView>
  </sheetViews>
  <sheetFormatPr defaultColWidth="11" defaultRowHeight="15.95"/>
  <cols>
    <col min="1" max="1" width="14.875" customWidth="1"/>
  </cols>
  <sheetData>
    <row r="1" spans="1:2">
      <c r="A1" t="s">
        <v>66</v>
      </c>
    </row>
    <row r="3" spans="1:2">
      <c r="A3" t="s">
        <v>67</v>
      </c>
      <c r="B3" t="s">
        <v>68</v>
      </c>
    </row>
    <row r="4" spans="1:2">
      <c r="A4">
        <v>0.1</v>
      </c>
      <c r="B4">
        <v>0.5</v>
      </c>
    </row>
    <row r="5" spans="1:2">
      <c r="A5">
        <v>0.5</v>
      </c>
      <c r="B5">
        <v>1.5</v>
      </c>
    </row>
    <row r="6" spans="1:2">
      <c r="A6">
        <v>1</v>
      </c>
      <c r="B6">
        <v>2.6</v>
      </c>
    </row>
    <row r="7" spans="1:2">
      <c r="A7">
        <v>2</v>
      </c>
      <c r="B7">
        <v>5</v>
      </c>
    </row>
    <row r="8" spans="1:2">
      <c r="A8">
        <v>3</v>
      </c>
      <c r="B8">
        <v>7.4</v>
      </c>
    </row>
    <row r="9" spans="1:2">
      <c r="A9">
        <v>4</v>
      </c>
      <c r="B9">
        <v>9.75</v>
      </c>
    </row>
    <row r="10" spans="1:2">
      <c r="A10">
        <v>5</v>
      </c>
      <c r="B10">
        <v>12.1</v>
      </c>
    </row>
    <row r="11" spans="1:2">
      <c r="A11">
        <v>6</v>
      </c>
      <c r="B11">
        <v>14.5</v>
      </c>
    </row>
    <row r="12" spans="1:2">
      <c r="A12">
        <v>7</v>
      </c>
      <c r="B12">
        <v>17</v>
      </c>
    </row>
    <row r="13" spans="1:2">
      <c r="A13">
        <v>8</v>
      </c>
      <c r="B13">
        <v>19.399999999999999</v>
      </c>
    </row>
    <row r="14" spans="1:2">
      <c r="A14">
        <v>9</v>
      </c>
      <c r="B14">
        <v>21.7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Kirschvink</dc:creator>
  <cp:keywords/>
  <dc:description/>
  <cp:lastModifiedBy/>
  <cp:revision/>
  <dcterms:created xsi:type="dcterms:W3CDTF">2021-07-29T04:59:29Z</dcterms:created>
  <dcterms:modified xsi:type="dcterms:W3CDTF">2024-03-31T02:13:10Z</dcterms:modified>
  <cp:category/>
  <cp:contentStatus/>
</cp:coreProperties>
</file>